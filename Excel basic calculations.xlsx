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lwwang_uwaterloo_ca/Documents/Datacamp Projects/Stock Trading Simulation with Gymnasium/"/>
    </mc:Choice>
  </mc:AlternateContent>
  <xr:revisionPtr revIDLastSave="0" documentId="8_{6EAE718F-B66B-8149-894A-E0C1B4707439}" xr6:coauthVersionLast="47" xr6:coauthVersionMax="47" xr10:uidLastSave="{00000000-0000-0000-0000-000000000000}"/>
  <bookViews>
    <workbookView xWindow="0" yWindow="600" windowWidth="38400" windowHeight="21000" activeTab="5" xr2:uid="{D9D43BB1-6EA9-E748-A956-E4E822CF7762}"/>
  </bookViews>
  <sheets>
    <sheet name="RSI" sheetId="1" r:id="rId1"/>
    <sheet name="MACD" sheetId="2" r:id="rId2"/>
    <sheet name="Earning Surprise" sheetId="3" r:id="rId3"/>
    <sheet name="Interest rate signal" sheetId="4" r:id="rId4"/>
    <sheet name="News Sentiment Score" sheetId="5" r:id="rId5"/>
    <sheet name="Put_Call Ratio" sheetId="6" r:id="rId6"/>
  </sheets>
  <definedNames>
    <definedName name="_xlchart.v1.0" hidden="1">MACD!$A$14:$A$28</definedName>
    <definedName name="_xlchart.v1.1" hidden="1">MACD!$E$13</definedName>
    <definedName name="_xlchart.v1.10" hidden="1">MACD!$F$13</definedName>
    <definedName name="_xlchart.v1.11" hidden="1">MACD!$F$14:$F$28</definedName>
    <definedName name="_xlchart.v1.12" hidden="1">MACD!$G$13</definedName>
    <definedName name="_xlchart.v1.13" hidden="1">MACD!$G$14:$G$28</definedName>
    <definedName name="_xlchart.v1.14" hidden="1">MACD!$A$14:$A$28</definedName>
    <definedName name="_xlchart.v1.15" hidden="1">MACD!$E$13</definedName>
    <definedName name="_xlchart.v1.16" hidden="1">MACD!$E$14:$E$28</definedName>
    <definedName name="_xlchart.v1.17" hidden="1">MACD!$F$13</definedName>
    <definedName name="_xlchart.v1.18" hidden="1">MACD!$F$14:$F$28</definedName>
    <definedName name="_xlchart.v1.19" hidden="1">MACD!$G$13</definedName>
    <definedName name="_xlchart.v1.2" hidden="1">MACD!$E$14:$E$28</definedName>
    <definedName name="_xlchart.v1.20" hidden="1">MACD!$G$14:$G$28</definedName>
    <definedName name="_xlchart.v1.21" hidden="1">MACD!$A$14:$A$28</definedName>
    <definedName name="_xlchart.v1.22" hidden="1">MACD!$E$13</definedName>
    <definedName name="_xlchart.v1.23" hidden="1">MACD!$E$14:$E$28</definedName>
    <definedName name="_xlchart.v1.24" hidden="1">MACD!$F$13</definedName>
    <definedName name="_xlchart.v1.25" hidden="1">MACD!$F$14:$F$28</definedName>
    <definedName name="_xlchart.v1.26" hidden="1">MACD!$G$13</definedName>
    <definedName name="_xlchart.v1.27" hidden="1">MACD!$G$14:$G$28</definedName>
    <definedName name="_xlchart.v1.28" hidden="1">'Earning Surprise'!$A$8:$A$11</definedName>
    <definedName name="_xlchart.v1.29" hidden="1">'Earning Surprise'!$B$7</definedName>
    <definedName name="_xlchart.v1.3" hidden="1">MACD!$F$13</definedName>
    <definedName name="_xlchart.v1.30" hidden="1">'Earning Surprise'!$B$8:$B$11</definedName>
    <definedName name="_xlchart.v1.31" hidden="1">'Earning Surprise'!$C$7</definedName>
    <definedName name="_xlchart.v1.32" hidden="1">'Earning Surprise'!$C$8:$C$11</definedName>
    <definedName name="_xlchart.v1.33" hidden="1">'Earning Surprise'!$A$8:$A$11</definedName>
    <definedName name="_xlchart.v1.34" hidden="1">'Earning Surprise'!$B$7</definedName>
    <definedName name="_xlchart.v1.35" hidden="1">'Earning Surprise'!$B$8:$B$11</definedName>
    <definedName name="_xlchart.v1.36" hidden="1">'Earning Surprise'!$C$7</definedName>
    <definedName name="_xlchart.v1.37" hidden="1">'Earning Surprise'!$C$8:$C$11</definedName>
    <definedName name="_xlchart.v1.38" hidden="1">'Earning Surprise'!$A$8:$A$11</definedName>
    <definedName name="_xlchart.v1.39" hidden="1">'Earning Surprise'!$B$7</definedName>
    <definedName name="_xlchart.v1.4" hidden="1">MACD!$F$14:$F$28</definedName>
    <definedName name="_xlchart.v1.40" hidden="1">'Earning Surprise'!$B$8:$B$11</definedName>
    <definedName name="_xlchart.v1.41" hidden="1">'Earning Surprise'!$C$7</definedName>
    <definedName name="_xlchart.v1.42" hidden="1">'Earning Surprise'!$C$8:$C$11</definedName>
    <definedName name="_xlchart.v1.5" hidden="1">MACD!$G$13</definedName>
    <definedName name="_xlchart.v1.6" hidden="1">MACD!$G$14:$G$28</definedName>
    <definedName name="_xlchart.v1.7" hidden="1">MACD!$A$14:$A$28</definedName>
    <definedName name="_xlchart.v1.8" hidden="1">MACD!$E$13</definedName>
    <definedName name="_xlchart.v1.9" hidden="1">MACD!$E$14:$E$28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4" l="1"/>
  <c r="C12" i="4"/>
  <c r="C13" i="4"/>
  <c r="B15" i="6"/>
  <c r="B18" i="6"/>
  <c r="B17" i="6"/>
  <c r="B19" i="6" s="1"/>
  <c r="B12" i="6"/>
  <c r="B13" i="6"/>
  <c r="B14" i="6" s="1"/>
  <c r="B12" i="5"/>
  <c r="B16" i="5" s="1"/>
  <c r="B17" i="5" s="1"/>
  <c r="C10" i="4"/>
  <c r="E10" i="3"/>
  <c r="E9" i="3"/>
  <c r="E11" i="3"/>
  <c r="E8" i="3"/>
  <c r="D9" i="3"/>
  <c r="D10" i="3"/>
  <c r="D11" i="3"/>
  <c r="D8" i="3"/>
  <c r="E14" i="2"/>
  <c r="F16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14" i="2"/>
  <c r="F28" i="2"/>
  <c r="F17" i="2"/>
  <c r="F18" i="2"/>
  <c r="F19" i="2"/>
  <c r="F20" i="2"/>
  <c r="F21" i="2"/>
  <c r="F22" i="2"/>
  <c r="F23" i="2"/>
  <c r="F24" i="2"/>
  <c r="F25" i="2"/>
  <c r="F26" i="2"/>
  <c r="F27" i="2"/>
  <c r="F15" i="2"/>
  <c r="F14" i="2"/>
  <c r="B3" i="2"/>
  <c r="C14" i="2"/>
  <c r="B5" i="2"/>
  <c r="D25" i="2" s="1"/>
  <c r="B4" i="2"/>
  <c r="C22" i="2" s="1"/>
  <c r="D22" i="1"/>
  <c r="E12" i="1"/>
  <c r="C7" i="1"/>
  <c r="E7" i="1" s="1"/>
  <c r="C8" i="1"/>
  <c r="E8" i="1" s="1"/>
  <c r="C9" i="1"/>
  <c r="E9" i="1" s="1"/>
  <c r="C10" i="1"/>
  <c r="D10" i="1" s="1"/>
  <c r="C11" i="1"/>
  <c r="D11" i="1" s="1"/>
  <c r="C12" i="1"/>
  <c r="D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6" i="1"/>
  <c r="E6" i="1" s="1"/>
  <c r="E22" i="2" l="1"/>
  <c r="D23" i="2"/>
  <c r="D16" i="2"/>
  <c r="C21" i="2"/>
  <c r="D24" i="2"/>
  <c r="C20" i="2"/>
  <c r="C19" i="2"/>
  <c r="E19" i="2" s="1"/>
  <c r="C18" i="2"/>
  <c r="E18" i="2" s="1"/>
  <c r="D20" i="2"/>
  <c r="C16" i="2"/>
  <c r="E16" i="2" s="1"/>
  <c r="D14" i="2"/>
  <c r="D17" i="2"/>
  <c r="D27" i="2"/>
  <c r="C15" i="2"/>
  <c r="D19" i="2"/>
  <c r="D18" i="2"/>
  <c r="D15" i="2"/>
  <c r="C25" i="2"/>
  <c r="E25" i="2" s="1"/>
  <c r="C24" i="2"/>
  <c r="E24" i="2" s="1"/>
  <c r="D26" i="2"/>
  <c r="D22" i="2"/>
  <c r="D21" i="2"/>
  <c r="C17" i="2"/>
  <c r="E17" i="2" s="1"/>
  <c r="C28" i="2"/>
  <c r="E28" i="2" s="1"/>
  <c r="C27" i="2"/>
  <c r="E27" i="2" s="1"/>
  <c r="C26" i="2"/>
  <c r="D28" i="2"/>
  <c r="C23" i="2"/>
  <c r="E23" i="2" s="1"/>
  <c r="E11" i="1"/>
  <c r="E10" i="1"/>
  <c r="E20" i="1"/>
  <c r="E21" i="1" s="1"/>
  <c r="D9" i="1"/>
  <c r="D6" i="1"/>
  <c r="D8" i="1"/>
  <c r="D19" i="1"/>
  <c r="D7" i="1"/>
  <c r="D18" i="1"/>
  <c r="D17" i="1"/>
  <c r="D16" i="1"/>
  <c r="D15" i="1"/>
  <c r="D14" i="1"/>
  <c r="D13" i="1"/>
  <c r="E20" i="2" l="1"/>
  <c r="E21" i="2"/>
  <c r="E26" i="2"/>
  <c r="E15" i="2"/>
  <c r="D20" i="1"/>
  <c r="D21" i="1" s="1"/>
  <c r="D23" i="1" s="1"/>
  <c r="D24" i="1" s="1" a="1"/>
  <c r="D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<sst xmlns="http://schemas.openxmlformats.org/spreadsheetml/2006/main" count="78" uniqueCount="71">
  <si>
    <t>RSI is an important tool for you to understand the market, you can use it to see if that's too much or you need to buy more.</t>
  </si>
  <si>
    <t>Last 14 days of AAPL closing prices:</t>
  </si>
  <si>
    <t>closing prices</t>
  </si>
  <si>
    <t>changes</t>
  </si>
  <si>
    <t>gain</t>
  </si>
  <si>
    <t>loss</t>
  </si>
  <si>
    <t>Total</t>
  </si>
  <si>
    <t>average gain/loss</t>
  </si>
  <si>
    <t>RS</t>
  </si>
  <si>
    <t>RSI</t>
  </si>
  <si>
    <t>If RSI &gt; 70, overbought, if RSI &lt; 30, oversold, else, neutral</t>
  </si>
  <si>
    <t>RSI of 83.49 means AAPL has been gaining much more than losing over 14 days. The model gets this number as a feature. It learns that high RSI often precedes a pullback.</t>
  </si>
  <si>
    <t>MACD — Moving Average Convergence Divergence</t>
  </si>
  <si>
    <t>EMA 12</t>
  </si>
  <si>
    <t>EMA 26</t>
  </si>
  <si>
    <t>MACD line = EMA (12) - EMA (26)</t>
  </si>
  <si>
    <t>Histogram = MACD line - Signal Line</t>
  </si>
  <si>
    <t>Signal Line = EMA(9) of MACD Line</t>
  </si>
  <si>
    <t>EMAtoday​ = Pricetoday​ × k+ EMAyesterday​ × (1−k)</t>
  </si>
  <si>
    <t>MACD</t>
  </si>
  <si>
    <t>EMA 9</t>
  </si>
  <si>
    <t>Signal today</t>
  </si>
  <si>
    <t>Histogram</t>
  </si>
  <si>
    <t>Dates</t>
  </si>
  <si>
    <t>How much the actual EPS beat or missed what analysts expected. One of the strongest 1-day price catalysts in markets.</t>
  </si>
  <si>
    <t>Earnings surprise</t>
  </si>
  <si>
    <r>
      <t>Surprise ($) = </t>
    </r>
    <r>
      <rPr>
        <sz val="13"/>
        <color rgb="FF3266AD"/>
        <rFont val="Courier New"/>
        <family val="1"/>
      </rPr>
      <t>Actual EPS</t>
    </r>
    <r>
      <rPr>
        <sz val="13"/>
        <color rgb="FF141413"/>
        <rFont val="Courier New"/>
        <family val="1"/>
      </rPr>
      <t> − </t>
    </r>
    <r>
      <rPr>
        <sz val="13"/>
        <color rgb="FF5A4815"/>
        <rFont val="Courier New"/>
        <family val="1"/>
      </rPr>
      <t>Estimated EPS</t>
    </r>
  </si>
  <si>
    <t>Surprise (%) = (Surprise $ ÷ Estimated EPS) × 100</t>
  </si>
  <si>
    <t>Quarter</t>
  </si>
  <si>
    <t>Estimate ($)</t>
  </si>
  <si>
    <t>Actual ($)</t>
  </si>
  <si>
    <t>Surprise ($)</t>
  </si>
  <si>
    <t>Surprise (%)</t>
  </si>
  <si>
    <t>Q1 2026</t>
  </si>
  <si>
    <t>Q2 2026</t>
  </si>
  <si>
    <t>Q3 2026</t>
  </si>
  <si>
    <t>Q4 2026</t>
  </si>
  <si>
    <t>Interest rate signal</t>
  </si>
  <si>
    <t>The 10-year US Treasury yield from FRED. The daily change matters more than the level — a sudden rate jump hammers tech stocks.</t>
  </si>
  <si>
    <r>
      <t>Rate change = </t>
    </r>
    <r>
      <rPr>
        <sz val="13"/>
        <color rgb="FF3266AD"/>
        <rFont val="Courier New"/>
        <family val="1"/>
      </rPr>
      <t>Yield today</t>
    </r>
    <r>
      <rPr>
        <sz val="13"/>
        <color rgb="FF141413"/>
        <rFont val="Courier New"/>
        <family val="1"/>
      </rPr>
      <t> − </t>
    </r>
    <r>
      <rPr>
        <sz val="13"/>
        <color rgb="FF5A4815"/>
        <rFont val="Courier New"/>
        <family val="1"/>
      </rPr>
      <t>Yield yesterday</t>
    </r>
  </si>
  <si>
    <t>Z-score = (Rate − Rolling mean) ÷ Rolling std [normalise for the model]</t>
  </si>
  <si>
    <t>Date [1, 2]</t>
  </si>
  <si>
    <t>Effective Federal Funds Rate (EFFR)</t>
  </si>
  <si>
    <t>News sentiment score</t>
  </si>
  <si>
    <t>VADER scores each headline −1 (very negative) to +1 (very positive). Average all AAPL headlines for the day into one daily score.</t>
  </si>
  <si>
    <t>Compound score = f(pos, neg, neu word counts)</t>
  </si>
  <si>
    <t>Headline</t>
  </si>
  <si>
    <t>Score</t>
  </si>
  <si>
    <t>"Apple smashes earnings expectations, iPhone sales surge"</t>
  </si>
  <si>
    <t>"Apple faces new EU antitrust investigation"</t>
  </si>
  <si>
    <t>"Tim Cook says AI features coming to iPhone this fall"</t>
  </si>
  <si>
    <t>"Apple supply chain disruptions reported in Asia"</t>
  </si>
  <si>
    <t>"Apple shares rise ahead of product launch event"</t>
  </si>
  <si>
    <t>Sum all scores</t>
  </si>
  <si>
    <t>Number of headlines</t>
  </si>
  <si>
    <t>Daily average sentiment = 0.97 ÷ 5</t>
  </si>
  <si>
    <r>
      <t>Daily sentiment = mean(</t>
    </r>
    <r>
      <rPr>
        <sz val="13"/>
        <color rgb="FF3266AD"/>
        <rFont val="Calibri"/>
        <family val="2"/>
      </rPr>
      <t>all headline scores</t>
    </r>
    <r>
      <rPr>
        <sz val="13"/>
        <color rgb="FF141413"/>
        <rFont val="Calibri"/>
        <family val="2"/>
      </rPr>
      <t>) for that day</t>
    </r>
  </si>
  <si>
    <t>IV crush = IV before earnings − IV after earnings announcement</t>
  </si>
  <si>
    <t>Option type</t>
  </si>
  <si>
    <t>Strike ($)</t>
  </si>
  <si>
    <t>Volume</t>
  </si>
  <si>
    <t>Impl. vol (%)</t>
  </si>
  <si>
    <t>Call</t>
  </si>
  <si>
    <t>Put</t>
  </si>
  <si>
    <t>total call volume</t>
  </si>
  <si>
    <t>total put volume</t>
  </si>
  <si>
    <t xml:space="preserve">put/call ratio </t>
  </si>
  <si>
    <t>Avg implied vol (puts)</t>
  </si>
  <si>
    <t>Avg implied vol (calls)</t>
  </si>
  <si>
    <t>Overall avg IV  </t>
  </si>
  <si>
    <r>
      <t>Put/Call ratio = </t>
    </r>
    <r>
      <rPr>
        <sz val="13"/>
        <color rgb="FF5A4815"/>
        <rFont val="Calibri"/>
        <family val="2"/>
      </rPr>
      <t>Total put volume</t>
    </r>
    <r>
      <rPr>
        <sz val="13"/>
        <color rgb="FF141413"/>
        <rFont val="Calibri"/>
        <family val="2"/>
      </rPr>
      <t> ÷ </t>
    </r>
    <r>
      <rPr>
        <sz val="13"/>
        <color rgb="FF3266AD"/>
        <rFont val="Calibri"/>
        <family val="2"/>
      </rPr>
      <t>Total call volume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</si>
</sst>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.000_);_(* \(#,##0.000\);_(* &quot;-&quot;??_);_(@_)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3"/>
      <color rgb="FF3D3D3A"/>
      <name val="Arial"/>
      <family val="2"/>
    </font>
    <font>
      <sz val="12"/>
      <color theme="9" tint="-0.249977111117893"/>
      <name val="Aptos Narrow"/>
      <family val="2"/>
      <scheme val="minor"/>
    </font>
    <font>
      <sz val="15"/>
      <color rgb="FF141413"/>
      <name val="Arial"/>
      <family val="2"/>
    </font>
    <font>
      <sz val="13"/>
      <color rgb="FF141413"/>
      <name val="Courier New"/>
      <family val="1"/>
    </font>
    <font>
      <sz val="13"/>
      <color rgb="FF3266AD"/>
      <name val="Courier New"/>
      <family val="1"/>
    </font>
    <font>
      <sz val="13"/>
      <color rgb="FF5A4815"/>
      <name val="Courier New"/>
      <family val="1"/>
    </font>
    <font>
      <sz val="11"/>
      <color rgb="FF73726C"/>
      <name val="Arial"/>
      <family val="2"/>
    </font>
    <font>
      <sz val="12"/>
      <color rgb="FF141413"/>
      <name val="Courier New"/>
      <family val="1"/>
    </font>
    <font>
      <sz val="12"/>
      <color rgb="FF265B19"/>
      <name val="Courier New"/>
      <family val="1"/>
    </font>
    <font>
      <sz val="8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3"/>
      <color rgb="FF265B19"/>
      <name val="Arial"/>
      <family val="2"/>
    </font>
    <font>
      <sz val="18"/>
      <color rgb="FF265B19"/>
      <name val="Arial"/>
      <family val="2"/>
    </font>
    <font>
      <sz val="15"/>
      <color rgb="FF141413"/>
      <name val="Calibri"/>
      <family val="2"/>
    </font>
    <font>
      <sz val="12"/>
      <color theme="1"/>
      <name val="Calibri"/>
      <family val="2"/>
    </font>
    <font>
      <sz val="13"/>
      <color rgb="FF73726C"/>
      <name val="Calibri"/>
      <family val="2"/>
    </font>
    <font>
      <sz val="13"/>
      <color rgb="FF141413"/>
      <name val="Calibri"/>
      <family val="2"/>
    </font>
    <font>
      <sz val="13"/>
      <color rgb="FF3266AD"/>
      <name val="Calibri"/>
      <family val="2"/>
    </font>
    <font>
      <sz val="11"/>
      <color rgb="FF73726C"/>
      <name val="Calibri"/>
      <family val="2"/>
    </font>
    <font>
      <sz val="13"/>
      <color rgb="FF3D3D3A"/>
      <name val="Calibri"/>
      <family val="2"/>
    </font>
    <font>
      <sz val="12"/>
      <color rgb="FF265B19"/>
      <name val="Calibri"/>
      <family val="2"/>
    </font>
    <font>
      <sz val="12"/>
      <color rgb="FF7F2C28"/>
      <name val="Calibri"/>
      <family val="2"/>
    </font>
    <font>
      <sz val="13"/>
      <color rgb="FF5A4815"/>
      <name val="Calibri"/>
      <family val="2"/>
    </font>
    <font>
      <sz val="12"/>
      <color rgb="FF14141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2" fillId="0" borderId="0" xfId="0" applyFont="1"/>
    <xf numFmtId="43" fontId="4" fillId="0" borderId="0" xfId="1" applyFont="1" applyFill="1" applyBorder="1"/>
    <xf numFmtId="43" fontId="0" fillId="0" borderId="0" xfId="1" applyFont="1"/>
    <xf numFmtId="43" fontId="4" fillId="0" borderId="1" xfId="1" applyFont="1" applyBorder="1"/>
    <xf numFmtId="43" fontId="2" fillId="0" borderId="1" xfId="1" applyFont="1" applyBorder="1"/>
    <xf numFmtId="0" fontId="5" fillId="0" borderId="0" xfId="0" applyFont="1"/>
    <xf numFmtId="10" fontId="0" fillId="0" borderId="0" xfId="2" applyNumberFormat="1" applyFont="1"/>
    <xf numFmtId="0" fontId="6" fillId="0" borderId="0" xfId="0" applyFont="1"/>
    <xf numFmtId="2" fontId="0" fillId="0" borderId="0" xfId="0" applyNumberFormat="1"/>
    <xf numFmtId="2" fontId="0" fillId="0" borderId="0" xfId="1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0" fontId="11" fillId="0" borderId="0" xfId="2" applyNumberFormat="1" applyFont="1"/>
    <xf numFmtId="0" fontId="13" fillId="0" borderId="0" xfId="0" applyFont="1"/>
    <xf numFmtId="15" fontId="15" fillId="0" borderId="0" xfId="0" applyNumberFormat="1" applyFont="1"/>
    <xf numFmtId="10" fontId="14" fillId="0" borderId="0" xfId="0" applyNumberFormat="1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43" fontId="25" fillId="0" borderId="0" xfId="1" applyFont="1" applyAlignment="1">
      <alignment horizontal="center" vertical="center"/>
    </xf>
    <xf numFmtId="43" fontId="26" fillId="0" borderId="0" xfId="1" applyFont="1" applyAlignment="1">
      <alignment horizontal="center" vertical="center"/>
    </xf>
    <xf numFmtId="171" fontId="19" fillId="0" borderId="0" xfId="0" applyNumberFormat="1" applyFont="1"/>
    <xf numFmtId="43" fontId="19" fillId="0" borderId="1" xfId="0" applyNumberFormat="1" applyFont="1" applyBorder="1"/>
    <xf numFmtId="0" fontId="28" fillId="0" borderId="0" xfId="0" applyFont="1"/>
    <xf numFmtId="3" fontId="28" fillId="0" borderId="0" xfId="0" applyNumberFormat="1" applyFont="1"/>
    <xf numFmtId="3" fontId="19" fillId="0" borderId="0" xfId="0" applyNumberFormat="1" applyFont="1"/>
    <xf numFmtId="43" fontId="19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  <a:r>
              <a:rPr lang="en-US" baseline="0"/>
              <a:t>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MACD!$G$13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MACD!$A$14:$A$28</c:f>
              <c:numCache>
                <c:formatCode>m/d/yy</c:formatCode>
                <c:ptCount val="15"/>
                <c:pt idx="0">
                  <c:v>46143</c:v>
                </c:pt>
                <c:pt idx="1">
                  <c:v>46146</c:v>
                </c:pt>
                <c:pt idx="2">
                  <c:v>46148</c:v>
                </c:pt>
                <c:pt idx="3">
                  <c:v>46149</c:v>
                </c:pt>
                <c:pt idx="4">
                  <c:v>46150</c:v>
                </c:pt>
                <c:pt idx="5">
                  <c:v>46153</c:v>
                </c:pt>
                <c:pt idx="6">
                  <c:v>46154</c:v>
                </c:pt>
                <c:pt idx="7">
                  <c:v>46155</c:v>
                </c:pt>
                <c:pt idx="8">
                  <c:v>46156</c:v>
                </c:pt>
                <c:pt idx="9">
                  <c:v>46157</c:v>
                </c:pt>
                <c:pt idx="10">
                  <c:v>46158</c:v>
                </c:pt>
                <c:pt idx="11">
                  <c:v>46160</c:v>
                </c:pt>
                <c:pt idx="12">
                  <c:v>46161</c:v>
                </c:pt>
                <c:pt idx="13">
                  <c:v>46163</c:v>
                </c:pt>
                <c:pt idx="14">
                  <c:v>46164</c:v>
                </c:pt>
              </c:numCache>
            </c:numRef>
          </c:cat>
          <c:val>
            <c:numRef>
              <c:f>MACD!$G$14:$G$28</c:f>
              <c:numCache>
                <c:formatCode>0.00</c:formatCode>
                <c:ptCount val="15"/>
                <c:pt idx="0">
                  <c:v>0</c:v>
                </c:pt>
                <c:pt idx="1">
                  <c:v>-0.21123646723644923</c:v>
                </c:pt>
                <c:pt idx="2">
                  <c:v>0.89280911680907593</c:v>
                </c:pt>
                <c:pt idx="3">
                  <c:v>-0.68603988603986188</c:v>
                </c:pt>
                <c:pt idx="4">
                  <c:v>0.37971509971512207</c:v>
                </c:pt>
                <c:pt idx="5">
                  <c:v>-0.41609116809122498</c:v>
                </c:pt>
                <c:pt idx="6">
                  <c:v>0.17613675213679017</c:v>
                </c:pt>
                <c:pt idx="7">
                  <c:v>0.12444444444440705</c:v>
                </c:pt>
                <c:pt idx="8">
                  <c:v>-0.30185754985750463</c:v>
                </c:pt>
                <c:pt idx="9">
                  <c:v>0.17103133903128764</c:v>
                </c:pt>
                <c:pt idx="10">
                  <c:v>-0.28143589743585834</c:v>
                </c:pt>
                <c:pt idx="11">
                  <c:v>0.22463817663815464</c:v>
                </c:pt>
                <c:pt idx="12">
                  <c:v>0.13720797720798145</c:v>
                </c:pt>
                <c:pt idx="13">
                  <c:v>-3.4461538461482644E-2</c:v>
                </c:pt>
                <c:pt idx="14">
                  <c:v>6.9561253561232661E-2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E-024E-8C43-50C68476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97760"/>
        <c:axId val="1196786112"/>
      </c:barChart>
      <c:lineChart>
        <c:grouping val="standard"/>
        <c:varyColors val="0"/>
        <c:ser>
          <c:idx val="0"/>
          <c:order val="0"/>
          <c:tx>
            <c:strRef>
              <c:f>MACD!$E$13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MACD!$A$14:$A$28</c:f>
              <c:numCache>
                <c:formatCode>m/d/yy</c:formatCode>
                <c:ptCount val="15"/>
                <c:pt idx="0">
                  <c:v>46143</c:v>
                </c:pt>
                <c:pt idx="1">
                  <c:v>46146</c:v>
                </c:pt>
                <c:pt idx="2">
                  <c:v>46148</c:v>
                </c:pt>
                <c:pt idx="3">
                  <c:v>46149</c:v>
                </c:pt>
                <c:pt idx="4">
                  <c:v>46150</c:v>
                </c:pt>
                <c:pt idx="5">
                  <c:v>46153</c:v>
                </c:pt>
                <c:pt idx="6">
                  <c:v>46154</c:v>
                </c:pt>
                <c:pt idx="7">
                  <c:v>46155</c:v>
                </c:pt>
                <c:pt idx="8">
                  <c:v>46156</c:v>
                </c:pt>
                <c:pt idx="9">
                  <c:v>46157</c:v>
                </c:pt>
                <c:pt idx="10">
                  <c:v>46158</c:v>
                </c:pt>
                <c:pt idx="11">
                  <c:v>46160</c:v>
                </c:pt>
                <c:pt idx="12">
                  <c:v>46161</c:v>
                </c:pt>
                <c:pt idx="13">
                  <c:v>46163</c:v>
                </c:pt>
                <c:pt idx="14">
                  <c:v>46164</c:v>
                </c:pt>
              </c:numCache>
            </c:numRef>
          </c:cat>
          <c:val>
            <c:numRef>
              <c:f>MACD!$E$14:$E$28</c:f>
              <c:numCache>
                <c:formatCode>0.00</c:formatCode>
                <c:ptCount val="15"/>
                <c:pt idx="0">
                  <c:v>0</c:v>
                </c:pt>
                <c:pt idx="1">
                  <c:v>-0.26404558404556155</c:v>
                </c:pt>
                <c:pt idx="2">
                  <c:v>0.85196581196578336</c:v>
                </c:pt>
                <c:pt idx="3">
                  <c:v>-5.5840455840439063E-3</c:v>
                </c:pt>
                <c:pt idx="4">
                  <c:v>0.46905982905985866</c:v>
                </c:pt>
                <c:pt idx="5">
                  <c:v>-5.1054131054172558E-2</c:v>
                </c:pt>
                <c:pt idx="6">
                  <c:v>0.16911680911681515</c:v>
                </c:pt>
                <c:pt idx="7">
                  <c:v>0.32467236467232397</c:v>
                </c:pt>
                <c:pt idx="8">
                  <c:v>-5.2649572649556831E-2</c:v>
                </c:pt>
                <c:pt idx="9">
                  <c:v>0.16113960113955272</c:v>
                </c:pt>
                <c:pt idx="10">
                  <c:v>-0.19065527065527021</c:v>
                </c:pt>
                <c:pt idx="11">
                  <c:v>9.0142450142423058E-2</c:v>
                </c:pt>
                <c:pt idx="12">
                  <c:v>0.26165242165239988</c:v>
                </c:pt>
                <c:pt idx="13">
                  <c:v>0.21857549857554659</c:v>
                </c:pt>
                <c:pt idx="14">
                  <c:v>0.30552706552708742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E-024E-8C43-50C68476BB02}"/>
            </c:ext>
          </c:extLst>
        </c:ser>
        <c:ser>
          <c:idx val="1"/>
          <c:order val="1"/>
          <c:tx>
            <c:strRef>
              <c:f>MACD!$F$13</c:f>
              <c:strCache>
                <c:ptCount val="1"/>
                <c:pt idx="0">
                  <c:v>Signal today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MACD!$A$14:$A$28</c:f>
              <c:numCache>
                <c:formatCode>m/d/yy</c:formatCode>
                <c:ptCount val="15"/>
                <c:pt idx="0">
                  <c:v>46143</c:v>
                </c:pt>
                <c:pt idx="1">
                  <c:v>46146</c:v>
                </c:pt>
                <c:pt idx="2">
                  <c:v>46148</c:v>
                </c:pt>
                <c:pt idx="3">
                  <c:v>46149</c:v>
                </c:pt>
                <c:pt idx="4">
                  <c:v>46150</c:v>
                </c:pt>
                <c:pt idx="5">
                  <c:v>46153</c:v>
                </c:pt>
                <c:pt idx="6">
                  <c:v>46154</c:v>
                </c:pt>
                <c:pt idx="7">
                  <c:v>46155</c:v>
                </c:pt>
                <c:pt idx="8">
                  <c:v>46156</c:v>
                </c:pt>
                <c:pt idx="9">
                  <c:v>46157</c:v>
                </c:pt>
                <c:pt idx="10">
                  <c:v>46158</c:v>
                </c:pt>
                <c:pt idx="11">
                  <c:v>46160</c:v>
                </c:pt>
                <c:pt idx="12">
                  <c:v>46161</c:v>
                </c:pt>
                <c:pt idx="13">
                  <c:v>46163</c:v>
                </c:pt>
                <c:pt idx="14">
                  <c:v>46164</c:v>
                </c:pt>
              </c:numCache>
            </c:numRef>
          </c:cat>
          <c:val>
            <c:numRef>
              <c:f>MACD!$F$14:$F$28</c:f>
              <c:numCache>
                <c:formatCode>0.00</c:formatCode>
                <c:ptCount val="15"/>
                <c:pt idx="0">
                  <c:v>0</c:v>
                </c:pt>
                <c:pt idx="1">
                  <c:v>-5.2809116809112315E-2</c:v>
                </c:pt>
                <c:pt idx="2">
                  <c:v>-4.0843304843292572E-2</c:v>
                </c:pt>
                <c:pt idx="3">
                  <c:v>0.68045584045581797</c:v>
                </c:pt>
                <c:pt idx="4">
                  <c:v>8.9344729344736612E-2</c:v>
                </c:pt>
                <c:pt idx="5">
                  <c:v>0.36503703703705243</c:v>
                </c:pt>
                <c:pt idx="6">
                  <c:v>-7.0199430199750154E-3</c:v>
                </c:pt>
                <c:pt idx="7">
                  <c:v>0.20022792022791691</c:v>
                </c:pt>
                <c:pt idx="8">
                  <c:v>0.2492079772079478</c:v>
                </c:pt>
                <c:pt idx="9">
                  <c:v>-9.8917378917349197E-3</c:v>
                </c:pt>
                <c:pt idx="10">
                  <c:v>9.0780626780588125E-2</c:v>
                </c:pt>
                <c:pt idx="11">
                  <c:v>-0.13449572649573158</c:v>
                </c:pt>
                <c:pt idx="12">
                  <c:v>0.12444444444441843</c:v>
                </c:pt>
                <c:pt idx="13">
                  <c:v>0.25303703703702923</c:v>
                </c:pt>
                <c:pt idx="14">
                  <c:v>0.23596581196585475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E-024E-8C43-50C68476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797760"/>
        <c:axId val="1196786112"/>
      </c:lineChart>
      <c:dateAx>
        <c:axId val="119679776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86112"/>
        <c:crosses val="autoZero"/>
        <c:auto val="1"/>
        <c:lblOffset val="100"/>
        <c:baseTimeUnit val="days"/>
      </c:dateAx>
      <c:valAx>
        <c:axId val="11967861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Earnings</a:t>
            </a:r>
            <a:r>
              <a:rPr lang="en-US" baseline="0"/>
              <a:t> Surprise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'Earning Surprise'!$B$7</c:f>
              <c:strCache>
                <c:ptCount val="1"/>
                <c:pt idx="0">
                  <c:v>Estimate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'Earning Surprise'!$A$8:$A$11</c:f>
              <c:strCache>
                <c:ptCount val="4"/>
                <c:pt idx="0">
                  <c:v>Q1 2026</c:v>
                </c:pt>
                <c:pt idx="1">
                  <c:v>Q2 2026</c:v>
                </c:pt>
                <c:pt idx="2">
                  <c:v>Q3 2026</c:v>
                </c:pt>
                <c:pt idx="3">
                  <c:v>Q4 2026</c:v>
                </c:pt>
              </c:strCache>
            </c:strRef>
          </c:cat>
          <c:val>
            <c:numRef>
              <c:f>'Earning Surprise'!$B$8:$B$11</c:f>
              <c:numCache>
                <c:formatCode>General</c:formatCode>
                <c:ptCount val="4"/>
                <c:pt idx="0">
                  <c:v>2.66</c:v>
                </c:pt>
                <c:pt idx="1">
                  <c:v>1.94</c:v>
                </c:pt>
                <c:pt idx="2">
                  <c:v>1.42</c:v>
                </c:pt>
                <c:pt idx="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3-E348-882F-C9E63221815E}"/>
            </c:ext>
          </c:extLst>
        </c:ser>
        <c:ser>
          <c:idx val="1"/>
          <c:order val="1"/>
          <c:tx>
            <c:strRef>
              <c:f>'Earning Surprise'!$C$7</c:f>
              <c:strCache>
                <c:ptCount val="1"/>
                <c:pt idx="0">
                  <c:v>Actual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6.71%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B23-E348-882F-C9E632218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3.61%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B23-E348-882F-C9E632218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10.56%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B23-E348-882F-C9E632218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5.71%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B23-E348-882F-C9E632218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'Earning Surprise'!$A$8:$A$11</c:f>
              <c:strCache>
                <c:ptCount val="4"/>
                <c:pt idx="0">
                  <c:v>Q1 2026</c:v>
                </c:pt>
                <c:pt idx="1">
                  <c:v>Q2 2026</c:v>
                </c:pt>
                <c:pt idx="2">
                  <c:v>Q3 2026</c:v>
                </c:pt>
                <c:pt idx="3">
                  <c:v>Q4 2026</c:v>
                </c:pt>
              </c:strCache>
            </c:strRef>
          </c:cat>
          <c:val>
            <c:numRef>
              <c:f>'Earning Surprise'!$C$8:$C$11</c:f>
              <c:numCache>
                <c:formatCode>General</c:formatCode>
                <c:ptCount val="4"/>
                <c:pt idx="0">
                  <c:v>2.84</c:v>
                </c:pt>
                <c:pt idx="1">
                  <c:v>2.0099999999999998</c:v>
                </c:pt>
                <c:pt idx="2">
                  <c:v>1.57</c:v>
                </c:pt>
                <c:pt idx="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3-E348-882F-C9E632218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830720"/>
        <c:axId val="1138832064"/>
      </c:lineChart>
      <c:catAx>
        <c:axId val="11388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32064"/>
        <c:crosses val="autoZero"/>
        <c:auto val="1"/>
        <c:lblAlgn val="ctr"/>
        <c:lblOffset val="100"/>
        <c:noMultiLvlLbl val="0"/>
      </c:catAx>
      <c:valAx>
        <c:axId val="11388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307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323525</xdr:colOff>
      <xdr:row>10</xdr:row>
      <xdr:rowOff>167232</xdr:rowOff>
    </xdr:from>
    <xdr:to>
      <xdr:col>13</xdr:col>
      <xdr:colOff>770343</xdr:colOff>
      <xdr:row>24</xdr:row>
      <xdr:rowOff>45980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FD5DC6-05F4-EBD6-1CFB-FBD92614A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41207</xdr:colOff>
      <xdr:row>5</xdr:row>
      <xdr:rowOff>199012</xdr:rowOff>
    </xdr:from>
    <xdr:to>
      <xdr:col>11</xdr:col>
      <xdr:colOff>492462</xdr:colOff>
      <xdr:row>18</xdr:row>
      <xdr:rowOff>199552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E9BBF-F7A5-BF09-A3F3-CD9DEC139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09F4-5C0D-8B46-9302-EB2C1782B478}">
  <dimension ref="A1:F27"/>
  <sheetViews>
    <sheetView zoomScale="206" workbookViewId="0">
      <selection activeCell="F4" sqref="F4"/>
    </sheetView>
  </sheetViews>
  <sheetFormatPr baseColWidth="10" defaultRowHeight="16" x14ac:dyDescent="0.2"/>
  <cols>
    <col min="1" max="1" width="14.33203125" customWidth="1"/>
    <col min="2" max="2" width="12.1640625" bestFit="1" customWidth="1"/>
  </cols>
  <sheetData>
    <row r="1" spans="1:6" x14ac:dyDescent="0.2">
      <c r="A1" t="s">
        <v>0</v>
      </c>
    </row>
    <row r="3" spans="1:6" ht="17" x14ac:dyDescent="0.2">
      <c r="A3" s="1" t="s">
        <v>1</v>
      </c>
    </row>
    <row r="4" spans="1:6" ht="17" x14ac:dyDescent="0.2">
      <c r="A4" s="1"/>
      <c r="B4" t="s">
        <v>2</v>
      </c>
      <c r="C4" t="s">
        <v>3</v>
      </c>
      <c r="D4" s="3" t="s">
        <v>4</v>
      </c>
      <c r="E4" s="4" t="s">
        <v>5</v>
      </c>
    </row>
    <row r="5" spans="1:6" x14ac:dyDescent="0.2">
      <c r="A5" s="2">
        <v>46143</v>
      </c>
      <c r="B5">
        <v>280.14</v>
      </c>
      <c r="D5" s="3"/>
      <c r="E5" s="4"/>
      <c r="F5" s="10"/>
    </row>
    <row r="6" spans="1:6" x14ac:dyDescent="0.2">
      <c r="A6" s="2">
        <v>46146</v>
      </c>
      <c r="B6">
        <v>276.83</v>
      </c>
      <c r="C6">
        <f>B6-B5</f>
        <v>-3.3100000000000023</v>
      </c>
      <c r="D6" s="3">
        <f>IF(C6&gt;0, C6, 0)</f>
        <v>0</v>
      </c>
      <c r="E6" s="4">
        <f>IF(C6&lt;0, C6)</f>
        <v>-3.3100000000000023</v>
      </c>
    </row>
    <row r="7" spans="1:6" x14ac:dyDescent="0.2">
      <c r="A7" s="2">
        <v>46148</v>
      </c>
      <c r="B7">
        <v>287.51</v>
      </c>
      <c r="C7">
        <f t="shared" ref="C7:C19" si="0">B7-B6</f>
        <v>10.680000000000007</v>
      </c>
      <c r="D7" s="3">
        <f t="shared" ref="D7:D19" si="1">IF(C7&gt;0, C7, 0)</f>
        <v>10.680000000000007</v>
      </c>
      <c r="E7" s="4">
        <f t="shared" ref="E7:E19" si="2">IF(C7&lt;0, C7, 0)</f>
        <v>0</v>
      </c>
    </row>
    <row r="8" spans="1:6" x14ac:dyDescent="0.2">
      <c r="A8" s="2">
        <v>46149</v>
      </c>
      <c r="B8">
        <v>287.44</v>
      </c>
      <c r="C8">
        <f t="shared" si="0"/>
        <v>-6.9999999999993179E-2</v>
      </c>
      <c r="D8" s="3">
        <f t="shared" si="1"/>
        <v>0</v>
      </c>
      <c r="E8" s="4">
        <f t="shared" si="2"/>
        <v>-6.9999999999993179E-2</v>
      </c>
    </row>
    <row r="9" spans="1:6" x14ac:dyDescent="0.2">
      <c r="A9" s="2">
        <v>46150</v>
      </c>
      <c r="B9">
        <v>293.32</v>
      </c>
      <c r="C9">
        <f t="shared" si="0"/>
        <v>5.8799999999999955</v>
      </c>
      <c r="D9" s="3">
        <f t="shared" si="1"/>
        <v>5.8799999999999955</v>
      </c>
      <c r="E9" s="4">
        <f t="shared" si="2"/>
        <v>0</v>
      </c>
    </row>
    <row r="10" spans="1:6" x14ac:dyDescent="0.2">
      <c r="A10" s="2">
        <v>46153</v>
      </c>
      <c r="B10">
        <v>292.68</v>
      </c>
      <c r="C10">
        <f t="shared" si="0"/>
        <v>-0.63999999999998636</v>
      </c>
      <c r="D10" s="3">
        <f t="shared" si="1"/>
        <v>0</v>
      </c>
      <c r="E10" s="4">
        <f t="shared" si="2"/>
        <v>-0.63999999999998636</v>
      </c>
    </row>
    <row r="11" spans="1:6" x14ac:dyDescent="0.2">
      <c r="A11" s="2">
        <v>46154</v>
      </c>
      <c r="B11">
        <v>294.8</v>
      </c>
      <c r="C11">
        <f t="shared" si="0"/>
        <v>2.1200000000000045</v>
      </c>
      <c r="D11" s="3">
        <f t="shared" si="1"/>
        <v>2.1200000000000045</v>
      </c>
      <c r="E11" s="4">
        <f t="shared" si="2"/>
        <v>0</v>
      </c>
    </row>
    <row r="12" spans="1:6" x14ac:dyDescent="0.2">
      <c r="A12" s="2">
        <v>46155</v>
      </c>
      <c r="B12">
        <v>298.87</v>
      </c>
      <c r="C12">
        <f t="shared" si="0"/>
        <v>4.0699999999999932</v>
      </c>
      <c r="D12" s="3">
        <f t="shared" si="1"/>
        <v>4.0699999999999932</v>
      </c>
      <c r="E12" s="4">
        <f t="shared" si="2"/>
        <v>0</v>
      </c>
    </row>
    <row r="13" spans="1:6" x14ac:dyDescent="0.2">
      <c r="A13" s="2">
        <v>46156</v>
      </c>
      <c r="B13">
        <v>298.20999999999998</v>
      </c>
      <c r="C13">
        <f t="shared" si="0"/>
        <v>-0.66000000000002501</v>
      </c>
      <c r="D13" s="3">
        <f t="shared" si="1"/>
        <v>0</v>
      </c>
      <c r="E13" s="4">
        <f t="shared" si="2"/>
        <v>-0.66000000000002501</v>
      </c>
    </row>
    <row r="14" spans="1:6" x14ac:dyDescent="0.2">
      <c r="A14" s="2">
        <v>46157</v>
      </c>
      <c r="B14">
        <v>300.23</v>
      </c>
      <c r="C14">
        <f t="shared" si="0"/>
        <v>2.0200000000000387</v>
      </c>
      <c r="D14" s="3">
        <f t="shared" si="1"/>
        <v>2.0200000000000387</v>
      </c>
      <c r="E14" s="4">
        <f t="shared" si="2"/>
        <v>0</v>
      </c>
    </row>
    <row r="15" spans="1:6" x14ac:dyDescent="0.2">
      <c r="A15" s="2">
        <v>46158</v>
      </c>
      <c r="B15">
        <v>297.83999999999997</v>
      </c>
      <c r="C15">
        <f t="shared" si="0"/>
        <v>-2.3900000000000432</v>
      </c>
      <c r="D15" s="3">
        <f t="shared" si="1"/>
        <v>0</v>
      </c>
      <c r="E15" s="4">
        <f t="shared" si="2"/>
        <v>-2.3900000000000432</v>
      </c>
    </row>
    <row r="16" spans="1:6" x14ac:dyDescent="0.2">
      <c r="A16" s="2">
        <v>46160</v>
      </c>
      <c r="B16">
        <v>298.97000000000003</v>
      </c>
      <c r="C16">
        <f t="shared" si="0"/>
        <v>1.1300000000000523</v>
      </c>
      <c r="D16" s="3">
        <f t="shared" si="1"/>
        <v>1.1300000000000523</v>
      </c>
      <c r="E16" s="4">
        <f t="shared" si="2"/>
        <v>0</v>
      </c>
    </row>
    <row r="17" spans="1:5" x14ac:dyDescent="0.2">
      <c r="A17" s="2">
        <v>46161</v>
      </c>
      <c r="B17">
        <v>302.25</v>
      </c>
      <c r="C17">
        <f t="shared" si="0"/>
        <v>3.2799999999999727</v>
      </c>
      <c r="D17" s="3">
        <f t="shared" si="1"/>
        <v>3.2799999999999727</v>
      </c>
      <c r="E17" s="4">
        <f t="shared" si="2"/>
        <v>0</v>
      </c>
    </row>
    <row r="18" spans="1:5" x14ac:dyDescent="0.2">
      <c r="A18" s="2">
        <v>46163</v>
      </c>
      <c r="B18">
        <v>304.99</v>
      </c>
      <c r="C18">
        <f t="shared" si="0"/>
        <v>2.7400000000000091</v>
      </c>
      <c r="D18" s="3">
        <f t="shared" si="1"/>
        <v>2.7400000000000091</v>
      </c>
      <c r="E18" s="4">
        <f t="shared" si="2"/>
        <v>0</v>
      </c>
    </row>
    <row r="19" spans="1:5" x14ac:dyDescent="0.2">
      <c r="A19" s="2">
        <v>46164</v>
      </c>
      <c r="B19">
        <v>308.82</v>
      </c>
      <c r="C19">
        <f t="shared" si="0"/>
        <v>3.8299999999999841</v>
      </c>
      <c r="D19" s="3">
        <f t="shared" si="1"/>
        <v>3.8299999999999841</v>
      </c>
      <c r="E19" s="4">
        <f t="shared" si="2"/>
        <v>0</v>
      </c>
    </row>
    <row r="20" spans="1:5" x14ac:dyDescent="0.2">
      <c r="A20" t="s">
        <v>6</v>
      </c>
      <c r="D20" s="7">
        <f>SUM(D6:D19)</f>
        <v>35.750000000000057</v>
      </c>
      <c r="E20" s="8">
        <f>SUM(E6:E19)</f>
        <v>-7.07000000000005</v>
      </c>
    </row>
    <row r="21" spans="1:5" x14ac:dyDescent="0.2">
      <c r="A21" t="s">
        <v>7</v>
      </c>
      <c r="D21" s="5">
        <f>D20/14</f>
        <v>2.5535714285714328</v>
      </c>
      <c r="E21" s="5">
        <f>E20/14</f>
        <v>-0.50500000000000356</v>
      </c>
    </row>
    <row r="22" spans="1:5" x14ac:dyDescent="0.2">
      <c r="A22" t="s">
        <v>8</v>
      </c>
      <c r="D22" s="6">
        <f>D21/-E21</f>
        <v>5.0565770862800292</v>
      </c>
      <c r="E22" s="6"/>
    </row>
    <row r="23" spans="1:5" x14ac:dyDescent="0.2">
      <c r="A23" t="s">
        <v>9</v>
      </c>
      <c r="D23" s="6">
        <f>100-(100/(1+D22))</f>
        <v>83.489023820644491</v>
      </c>
      <c r="E23" s="6"/>
    </row>
    <row r="24" spans="1:5" x14ac:dyDescent="0.2">
      <c r="D24" t="str" cm="1">
        <f t="array" ref="D24">IF(D23&gt;70, "Overbought", iif(D23&lt;30, "Oversold", "Neutral"))</f>
        <v>Overbought</v>
      </c>
    </row>
    <row r="26" spans="1:5" x14ac:dyDescent="0.2">
      <c r="A26" t="s">
        <v>10</v>
      </c>
    </row>
    <row r="27" spans="1:5" x14ac:dyDescent="0.2">
      <c r="A2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C12C-FB9B-A840-A63B-02F3FCC3CA65}">
  <dimension ref="A1:G29"/>
  <sheetViews>
    <sheetView zoomScale="137" zoomScaleNormal="312" workbookViewId="0">
      <selection activeCell="H9" sqref="H9"/>
    </sheetView>
  </sheetViews>
  <sheetFormatPr baseColWidth="10" defaultRowHeight="16" x14ac:dyDescent="0.2"/>
  <cols>
    <col min="2" max="2" width="12.1640625" bestFit="1" customWidth="1"/>
  </cols>
  <sheetData>
    <row r="1" spans="1:7" ht="19" x14ac:dyDescent="0.2">
      <c r="A1" s="9" t="s">
        <v>12</v>
      </c>
    </row>
    <row r="3" spans="1:7" x14ac:dyDescent="0.2">
      <c r="A3" t="s">
        <v>20</v>
      </c>
      <c r="B3" s="10">
        <f>2/(9+1)</f>
        <v>0.2</v>
      </c>
    </row>
    <row r="4" spans="1:7" x14ac:dyDescent="0.2">
      <c r="A4" t="s">
        <v>13</v>
      </c>
      <c r="B4" s="10">
        <f>2/(12+1)</f>
        <v>0.15384615384615385</v>
      </c>
    </row>
    <row r="5" spans="1:7" x14ac:dyDescent="0.2">
      <c r="A5" t="s">
        <v>14</v>
      </c>
      <c r="B5" s="10">
        <f>2/(26+1)</f>
        <v>7.407407407407407E-2</v>
      </c>
    </row>
    <row r="6" spans="1:7" x14ac:dyDescent="0.2">
      <c r="B6" s="10"/>
    </row>
    <row r="7" spans="1:7" x14ac:dyDescent="0.2">
      <c r="A7" t="s">
        <v>15</v>
      </c>
      <c r="B7" s="10"/>
    </row>
    <row r="8" spans="1:7" ht="18" x14ac:dyDescent="0.25">
      <c r="A8" s="11" t="s">
        <v>17</v>
      </c>
      <c r="B8" s="10"/>
    </row>
    <row r="9" spans="1:7" x14ac:dyDescent="0.2">
      <c r="A9" t="s">
        <v>16</v>
      </c>
      <c r="B9" s="10"/>
    </row>
    <row r="10" spans="1:7" x14ac:dyDescent="0.2">
      <c r="B10" s="10"/>
    </row>
    <row r="11" spans="1:7" x14ac:dyDescent="0.2">
      <c r="A11" t="s">
        <v>18</v>
      </c>
      <c r="B11" s="10"/>
    </row>
    <row r="13" spans="1:7" ht="17" x14ac:dyDescent="0.2">
      <c r="A13" s="1" t="s">
        <v>23</v>
      </c>
      <c r="B13" t="s">
        <v>2</v>
      </c>
      <c r="C13" t="s">
        <v>13</v>
      </c>
      <c r="D13" t="s">
        <v>14</v>
      </c>
      <c r="E13" t="s">
        <v>19</v>
      </c>
      <c r="F13" t="s">
        <v>21</v>
      </c>
      <c r="G13" t="s">
        <v>22</v>
      </c>
    </row>
    <row r="14" spans="1:7" x14ac:dyDescent="0.2">
      <c r="A14" s="2">
        <v>46143</v>
      </c>
      <c r="B14" s="12">
        <v>280.14</v>
      </c>
      <c r="C14" s="13">
        <f>B14</f>
        <v>280.14</v>
      </c>
      <c r="D14" s="13">
        <f>C14</f>
        <v>280.14</v>
      </c>
      <c r="E14" s="12">
        <f>C14-D14</f>
        <v>0</v>
      </c>
      <c r="F14" s="12">
        <f>E14</f>
        <v>0</v>
      </c>
      <c r="G14" s="12">
        <f>E14-F14</f>
        <v>0</v>
      </c>
    </row>
    <row r="15" spans="1:7" x14ac:dyDescent="0.2">
      <c r="A15" s="2">
        <v>46146</v>
      </c>
      <c r="B15" s="12">
        <v>276.83</v>
      </c>
      <c r="C15" s="13">
        <f>B15*$B$4+B14*(1-$B$4)</f>
        <v>279.6307692307692</v>
      </c>
      <c r="D15" s="13">
        <f>B15*$B$5+B14*(1-$B$5)</f>
        <v>279.89481481481477</v>
      </c>
      <c r="E15" s="12">
        <f t="shared" ref="E15:E28" si="0">C15-D15</f>
        <v>-0.26404558404556155</v>
      </c>
      <c r="F15" s="13">
        <f>E15*$B$3+E14*(1-$B$3)</f>
        <v>-5.2809116809112315E-2</v>
      </c>
      <c r="G15" s="12">
        <f t="shared" ref="G15:G28" si="1">E15-F15</f>
        <v>-0.21123646723644923</v>
      </c>
    </row>
    <row r="16" spans="1:7" x14ac:dyDescent="0.2">
      <c r="A16" s="2">
        <v>46148</v>
      </c>
      <c r="B16" s="12">
        <v>287.51</v>
      </c>
      <c r="C16" s="13">
        <f t="shared" ref="C16:C28" si="2">B16*$B$4+B15*(1-$B$4)</f>
        <v>278.47307692307692</v>
      </c>
      <c r="D16" s="13">
        <f t="shared" ref="D16:D28" si="3">B16*$B$5+B15*(1-$B$5)</f>
        <v>277.62111111111113</v>
      </c>
      <c r="E16" s="12">
        <f t="shared" si="0"/>
        <v>0.85196581196578336</v>
      </c>
      <c r="F16" s="13">
        <f>E16*$B$3+E15*(1-$B$3)</f>
        <v>-4.0843304843292572E-2</v>
      </c>
      <c r="G16" s="12">
        <f t="shared" si="1"/>
        <v>0.89280911680907593</v>
      </c>
    </row>
    <row r="17" spans="1:7" x14ac:dyDescent="0.2">
      <c r="A17" s="2">
        <v>46149</v>
      </c>
      <c r="B17" s="12">
        <v>287.44</v>
      </c>
      <c r="C17" s="13">
        <f t="shared" si="2"/>
        <v>287.49923076923073</v>
      </c>
      <c r="D17" s="13">
        <f t="shared" si="3"/>
        <v>287.50481481481478</v>
      </c>
      <c r="E17" s="12">
        <f t="shared" si="0"/>
        <v>-5.5840455840439063E-3</v>
      </c>
      <c r="F17" s="13">
        <f t="shared" ref="F16:F27" si="4">E17*$B$3+E16*(1-$B$3)</f>
        <v>0.68045584045581797</v>
      </c>
      <c r="G17" s="12">
        <f t="shared" si="1"/>
        <v>-0.68603988603986188</v>
      </c>
    </row>
    <row r="18" spans="1:7" x14ac:dyDescent="0.2">
      <c r="A18" s="2">
        <v>46150</v>
      </c>
      <c r="B18" s="12">
        <v>293.32</v>
      </c>
      <c r="C18" s="13">
        <f t="shared" si="2"/>
        <v>288.34461538461539</v>
      </c>
      <c r="D18" s="13">
        <f t="shared" si="3"/>
        <v>287.87555555555554</v>
      </c>
      <c r="E18" s="12">
        <f t="shared" si="0"/>
        <v>0.46905982905985866</v>
      </c>
      <c r="F18" s="13">
        <f t="shared" si="4"/>
        <v>8.9344729344736612E-2</v>
      </c>
      <c r="G18" s="12">
        <f t="shared" si="1"/>
        <v>0.37971509971512207</v>
      </c>
    </row>
    <row r="19" spans="1:7" x14ac:dyDescent="0.2">
      <c r="A19" s="2">
        <v>46153</v>
      </c>
      <c r="B19" s="12">
        <v>292.68</v>
      </c>
      <c r="C19" s="13">
        <f t="shared" si="2"/>
        <v>293.22153846153844</v>
      </c>
      <c r="D19" s="13">
        <f t="shared" si="3"/>
        <v>293.27259259259262</v>
      </c>
      <c r="E19" s="12">
        <f t="shared" si="0"/>
        <v>-5.1054131054172558E-2</v>
      </c>
      <c r="F19" s="13">
        <f t="shared" si="4"/>
        <v>0.36503703703705243</v>
      </c>
      <c r="G19" s="12">
        <f t="shared" si="1"/>
        <v>-0.41609116809122498</v>
      </c>
    </row>
    <row r="20" spans="1:7" x14ac:dyDescent="0.2">
      <c r="A20" s="2">
        <v>46154</v>
      </c>
      <c r="B20" s="12">
        <v>294.8</v>
      </c>
      <c r="C20" s="13">
        <f t="shared" si="2"/>
        <v>293.00615384615384</v>
      </c>
      <c r="D20" s="13">
        <f t="shared" si="3"/>
        <v>292.83703703703702</v>
      </c>
      <c r="E20" s="12">
        <f t="shared" si="0"/>
        <v>0.16911680911681515</v>
      </c>
      <c r="F20" s="13">
        <f t="shared" si="4"/>
        <v>-7.0199430199750154E-3</v>
      </c>
      <c r="G20" s="12">
        <f t="shared" si="1"/>
        <v>0.17613675213679017</v>
      </c>
    </row>
    <row r="21" spans="1:7" x14ac:dyDescent="0.2">
      <c r="A21" s="2">
        <v>46155</v>
      </c>
      <c r="B21" s="12">
        <v>298.87</v>
      </c>
      <c r="C21" s="13">
        <f t="shared" si="2"/>
        <v>295.42615384615385</v>
      </c>
      <c r="D21" s="13">
        <f t="shared" si="3"/>
        <v>295.10148148148153</v>
      </c>
      <c r="E21" s="12">
        <f t="shared" si="0"/>
        <v>0.32467236467232397</v>
      </c>
      <c r="F21" s="13">
        <f t="shared" si="4"/>
        <v>0.20022792022791691</v>
      </c>
      <c r="G21" s="12">
        <f t="shared" si="1"/>
        <v>0.12444444444440705</v>
      </c>
    </row>
    <row r="22" spans="1:7" x14ac:dyDescent="0.2">
      <c r="A22" s="2">
        <v>46156</v>
      </c>
      <c r="B22" s="12">
        <v>298.20999999999998</v>
      </c>
      <c r="C22" s="13">
        <f t="shared" si="2"/>
        <v>298.76846153846157</v>
      </c>
      <c r="D22" s="13">
        <f t="shared" si="3"/>
        <v>298.82111111111112</v>
      </c>
      <c r="E22" s="12">
        <f t="shared" si="0"/>
        <v>-5.2649572649556831E-2</v>
      </c>
      <c r="F22" s="13">
        <f t="shared" si="4"/>
        <v>0.2492079772079478</v>
      </c>
      <c r="G22" s="12">
        <f t="shared" si="1"/>
        <v>-0.30185754985750463</v>
      </c>
    </row>
    <row r="23" spans="1:7" x14ac:dyDescent="0.2">
      <c r="A23" s="2">
        <v>46157</v>
      </c>
      <c r="B23" s="12">
        <v>300.23</v>
      </c>
      <c r="C23" s="13">
        <f t="shared" si="2"/>
        <v>298.52076923076919</v>
      </c>
      <c r="D23" s="13">
        <f t="shared" si="3"/>
        <v>298.35962962962964</v>
      </c>
      <c r="E23" s="12">
        <f t="shared" si="0"/>
        <v>0.16113960113955272</v>
      </c>
      <c r="F23" s="13">
        <f t="shared" si="4"/>
        <v>-9.8917378917349197E-3</v>
      </c>
      <c r="G23" s="12">
        <f t="shared" si="1"/>
        <v>0.17103133903128764</v>
      </c>
    </row>
    <row r="24" spans="1:7" x14ac:dyDescent="0.2">
      <c r="A24" s="2">
        <v>46158</v>
      </c>
      <c r="B24" s="12">
        <v>297.83999999999997</v>
      </c>
      <c r="C24" s="13">
        <f t="shared" si="2"/>
        <v>299.8623076923077</v>
      </c>
      <c r="D24" s="13">
        <f t="shared" si="3"/>
        <v>300.05296296296297</v>
      </c>
      <c r="E24" s="12">
        <f t="shared" si="0"/>
        <v>-0.19065527065527021</v>
      </c>
      <c r="F24" s="13">
        <f t="shared" si="4"/>
        <v>9.0780626780588125E-2</v>
      </c>
      <c r="G24" s="12">
        <f t="shared" si="1"/>
        <v>-0.28143589743585834</v>
      </c>
    </row>
    <row r="25" spans="1:7" x14ac:dyDescent="0.2">
      <c r="A25" s="2">
        <v>46160</v>
      </c>
      <c r="B25" s="12">
        <v>298.97000000000003</v>
      </c>
      <c r="C25" s="13">
        <f t="shared" si="2"/>
        <v>298.01384615384615</v>
      </c>
      <c r="D25" s="13">
        <f t="shared" si="3"/>
        <v>297.92370370370372</v>
      </c>
      <c r="E25" s="12">
        <f t="shared" si="0"/>
        <v>9.0142450142423058E-2</v>
      </c>
      <c r="F25" s="13">
        <f t="shared" si="4"/>
        <v>-0.13449572649573158</v>
      </c>
      <c r="G25" s="12">
        <f t="shared" si="1"/>
        <v>0.22463817663815464</v>
      </c>
    </row>
    <row r="26" spans="1:7" x14ac:dyDescent="0.2">
      <c r="A26" s="2">
        <v>46161</v>
      </c>
      <c r="B26" s="12">
        <v>302.25</v>
      </c>
      <c r="C26" s="13">
        <f t="shared" si="2"/>
        <v>299.47461538461539</v>
      </c>
      <c r="D26" s="13">
        <f t="shared" si="3"/>
        <v>299.21296296296299</v>
      </c>
      <c r="E26" s="12">
        <f t="shared" si="0"/>
        <v>0.26165242165239988</v>
      </c>
      <c r="F26" s="13">
        <f t="shared" si="4"/>
        <v>0.12444444444441843</v>
      </c>
      <c r="G26" s="12">
        <f t="shared" si="1"/>
        <v>0.13720797720798145</v>
      </c>
    </row>
    <row r="27" spans="1:7" x14ac:dyDescent="0.2">
      <c r="A27" s="2">
        <v>46163</v>
      </c>
      <c r="B27" s="12">
        <v>304.99</v>
      </c>
      <c r="C27" s="13">
        <f t="shared" si="2"/>
        <v>302.67153846153849</v>
      </c>
      <c r="D27" s="13">
        <f t="shared" si="3"/>
        <v>302.45296296296294</v>
      </c>
      <c r="E27" s="12">
        <f t="shared" si="0"/>
        <v>0.21857549857554659</v>
      </c>
      <c r="F27" s="13">
        <f t="shared" si="4"/>
        <v>0.25303703703702923</v>
      </c>
      <c r="G27" s="12">
        <f t="shared" si="1"/>
        <v>-3.4461538461482644E-2</v>
      </c>
    </row>
    <row r="28" spans="1:7" x14ac:dyDescent="0.2">
      <c r="A28" s="2">
        <v>46164</v>
      </c>
      <c r="B28" s="12">
        <v>308.82</v>
      </c>
      <c r="C28" s="13">
        <f t="shared" si="2"/>
        <v>305.57923076923078</v>
      </c>
      <c r="D28" s="13">
        <f t="shared" si="3"/>
        <v>305.27370370370369</v>
      </c>
      <c r="E28" s="12">
        <f t="shared" si="0"/>
        <v>0.30552706552708742</v>
      </c>
      <c r="F28" s="13">
        <f>E28*$B$3+E27*(1-$B$3)</f>
        <v>0.23596581196585475</v>
      </c>
      <c r="G28" s="12">
        <f t="shared" si="1"/>
        <v>6.9561253561232661E-2</v>
      </c>
    </row>
    <row r="29" spans="1:7" x14ac:dyDescent="0.2">
      <c r="B29" s="12"/>
      <c r="C29" s="12"/>
      <c r="D29" s="12"/>
      <c r="E2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23CF-3E96-D244-9322-11200AA34210}">
  <dimension ref="A1:E11"/>
  <sheetViews>
    <sheetView zoomScale="188" workbookViewId="0">
      <selection activeCell="E14" sqref="E14"/>
    </sheetView>
  </sheetViews>
  <sheetFormatPr baseColWidth="10" defaultRowHeight="16" x14ac:dyDescent="0.2"/>
  <cols>
    <col min="5" max="5" width="12.83203125" bestFit="1" customWidth="1"/>
  </cols>
  <sheetData>
    <row r="1" spans="1:5" ht="19" x14ac:dyDescent="0.2">
      <c r="A1" s="9" t="s">
        <v>25</v>
      </c>
    </row>
    <row r="2" spans="1:5" x14ac:dyDescent="0.2">
      <c r="A2" t="s">
        <v>24</v>
      </c>
    </row>
    <row r="4" spans="1:5" ht="18" x14ac:dyDescent="0.25">
      <c r="A4" s="11" t="s">
        <v>26</v>
      </c>
    </row>
    <row r="5" spans="1:5" ht="18" x14ac:dyDescent="0.25">
      <c r="A5" s="11" t="s">
        <v>27</v>
      </c>
    </row>
    <row r="7" spans="1:5" x14ac:dyDescent="0.2">
      <c r="A7" s="14" t="s">
        <v>28</v>
      </c>
      <c r="B7" s="14" t="s">
        <v>29</v>
      </c>
      <c r="C7" s="14" t="s">
        <v>30</v>
      </c>
      <c r="D7" s="14" t="s">
        <v>31</v>
      </c>
      <c r="E7" s="14" t="s">
        <v>32</v>
      </c>
    </row>
    <row r="8" spans="1:5" ht="18" x14ac:dyDescent="0.25">
      <c r="A8" s="1" t="s">
        <v>33</v>
      </c>
      <c r="B8" s="15">
        <v>2.66</v>
      </c>
      <c r="C8" s="15">
        <v>2.84</v>
      </c>
      <c r="D8" s="16">
        <f>C8-B8</f>
        <v>0.17999999999999972</v>
      </c>
      <c r="E8" s="17">
        <f>D8/B8</f>
        <v>6.7669172932330712E-2</v>
      </c>
    </row>
    <row r="9" spans="1:5" ht="18" x14ac:dyDescent="0.25">
      <c r="A9" s="1" t="s">
        <v>34</v>
      </c>
      <c r="B9" s="15">
        <v>1.94</v>
      </c>
      <c r="C9" s="15">
        <v>2.0099999999999998</v>
      </c>
      <c r="D9" s="16">
        <f t="shared" ref="D9:D11" si="0">C9-B9</f>
        <v>6.999999999999984E-2</v>
      </c>
      <c r="E9" s="17">
        <f t="shared" ref="E9:E11" si="1">D9/B9</f>
        <v>3.6082474226804044E-2</v>
      </c>
    </row>
    <row r="10" spans="1:5" ht="18" x14ac:dyDescent="0.25">
      <c r="A10" s="1" t="s">
        <v>35</v>
      </c>
      <c r="B10" s="15">
        <v>1.42</v>
      </c>
      <c r="C10" s="15">
        <v>1.57</v>
      </c>
      <c r="D10" s="16">
        <f t="shared" si="0"/>
        <v>0.15000000000000013</v>
      </c>
      <c r="E10" s="17">
        <f>D10/B10</f>
        <v>0.1056338028169015</v>
      </c>
    </row>
    <row r="11" spans="1:5" ht="18" x14ac:dyDescent="0.25">
      <c r="A11" s="1" t="s">
        <v>36</v>
      </c>
      <c r="B11" s="15">
        <v>1.75</v>
      </c>
      <c r="C11" s="15">
        <v>1.85</v>
      </c>
      <c r="D11" s="16">
        <f t="shared" si="0"/>
        <v>0.10000000000000009</v>
      </c>
      <c r="E11" s="17">
        <f t="shared" si="1"/>
        <v>5.7142857142857197E-2</v>
      </c>
    </row>
  </sheetData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E24F-5657-124B-9390-B4417ABAD8C4}">
  <dimension ref="A1:C13"/>
  <sheetViews>
    <sheetView zoomScale="239" workbookViewId="0">
      <selection activeCell="C10" sqref="C10:C13"/>
    </sheetView>
  </sheetViews>
  <sheetFormatPr baseColWidth="10" defaultRowHeight="16" x14ac:dyDescent="0.2"/>
  <cols>
    <col min="1" max="1" width="19.1640625" customWidth="1"/>
  </cols>
  <sheetData>
    <row r="1" spans="1:3" x14ac:dyDescent="0.2">
      <c r="A1" t="s">
        <v>37</v>
      </c>
    </row>
    <row r="2" spans="1:3" x14ac:dyDescent="0.2">
      <c r="A2" t="s">
        <v>38</v>
      </c>
    </row>
    <row r="4" spans="1:3" ht="18" x14ac:dyDescent="0.25">
      <c r="A4" s="11" t="s">
        <v>39</v>
      </c>
    </row>
    <row r="5" spans="1:3" ht="18" x14ac:dyDescent="0.25">
      <c r="A5" s="11" t="s">
        <v>40</v>
      </c>
    </row>
    <row r="8" spans="1:3" ht="18" x14ac:dyDescent="0.2">
      <c r="A8" s="18" t="s">
        <v>41</v>
      </c>
      <c r="B8" s="18" t="s">
        <v>42</v>
      </c>
      <c r="C8" s="18"/>
    </row>
    <row r="9" spans="1:3" ht="18" x14ac:dyDescent="0.2">
      <c r="A9" s="19">
        <v>46163</v>
      </c>
      <c r="B9" s="20">
        <v>3.6200000000000003E-2</v>
      </c>
      <c r="C9" s="21"/>
    </row>
    <row r="10" spans="1:3" ht="18" x14ac:dyDescent="0.2">
      <c r="A10" s="19">
        <v>46162</v>
      </c>
      <c r="B10" s="20">
        <v>3.6200000000000003E-2</v>
      </c>
      <c r="C10" s="20">
        <f>B10-B9</f>
        <v>0</v>
      </c>
    </row>
    <row r="11" spans="1:3" ht="18" x14ac:dyDescent="0.2">
      <c r="A11" s="19">
        <v>46161</v>
      </c>
      <c r="B11" s="20">
        <v>3.6200000000000003E-2</v>
      </c>
      <c r="C11" s="20">
        <f t="shared" ref="C11:C13" si="0">B11-B10</f>
        <v>0</v>
      </c>
    </row>
    <row r="12" spans="1:3" ht="18" x14ac:dyDescent="0.2">
      <c r="A12" s="19">
        <v>46160</v>
      </c>
      <c r="B12" s="20">
        <v>3.6299999999999999E-2</v>
      </c>
      <c r="C12" s="20">
        <f t="shared" si="0"/>
        <v>9.9999999999995925E-5</v>
      </c>
    </row>
    <row r="13" spans="1:3" ht="18" x14ac:dyDescent="0.2">
      <c r="A13" s="19">
        <v>46157</v>
      </c>
      <c r="B13" s="20">
        <v>3.6299999999999999E-2</v>
      </c>
      <c r="C13" s="20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5A46-4F3E-6946-9C76-39DEA90B3A9A}">
  <dimension ref="A1:D20"/>
  <sheetViews>
    <sheetView zoomScale="150" workbookViewId="0">
      <selection activeCell="A21" sqref="A21"/>
    </sheetView>
  </sheetViews>
  <sheetFormatPr baseColWidth="10" defaultRowHeight="16" x14ac:dyDescent="0.2"/>
  <cols>
    <col min="1" max="1" width="69.1640625" customWidth="1"/>
  </cols>
  <sheetData>
    <row r="1" spans="1:4" ht="20" x14ac:dyDescent="0.25">
      <c r="A1" s="24" t="s">
        <v>43</v>
      </c>
      <c r="B1" s="25"/>
      <c r="C1" s="25"/>
      <c r="D1" s="25"/>
    </row>
    <row r="2" spans="1:4" ht="17" x14ac:dyDescent="0.2">
      <c r="A2" s="26" t="s">
        <v>44</v>
      </c>
      <c r="B2" s="25"/>
      <c r="C2" s="25"/>
      <c r="D2" s="25"/>
    </row>
    <row r="3" spans="1:4" ht="17" x14ac:dyDescent="0.2">
      <c r="A3" s="27" t="s">
        <v>45</v>
      </c>
      <c r="B3" s="25"/>
      <c r="C3" s="25"/>
      <c r="D3" s="25"/>
    </row>
    <row r="4" spans="1:4" ht="17" x14ac:dyDescent="0.2">
      <c r="A4" s="27" t="s">
        <v>56</v>
      </c>
      <c r="B4" s="25"/>
      <c r="C4" s="25"/>
      <c r="D4" s="25"/>
    </row>
    <row r="5" spans="1:4" ht="17" x14ac:dyDescent="0.2">
      <c r="A5" s="27"/>
      <c r="B5" s="25"/>
      <c r="C5" s="25"/>
      <c r="D5" s="25"/>
    </row>
    <row r="6" spans="1:4" x14ac:dyDescent="0.2">
      <c r="A6" s="28" t="s">
        <v>46</v>
      </c>
      <c r="B6" s="28" t="s">
        <v>47</v>
      </c>
      <c r="C6" s="25"/>
      <c r="D6" s="25"/>
    </row>
    <row r="7" spans="1:4" ht="17" x14ac:dyDescent="0.2">
      <c r="A7" s="29" t="s">
        <v>48</v>
      </c>
      <c r="B7" s="30">
        <v>0.87</v>
      </c>
      <c r="C7" s="25"/>
      <c r="D7" s="25"/>
    </row>
    <row r="8" spans="1:4" ht="17" x14ac:dyDescent="0.2">
      <c r="A8" s="29" t="s">
        <v>49</v>
      </c>
      <c r="B8" s="31">
        <v>-0.54</v>
      </c>
      <c r="C8" s="25"/>
      <c r="D8" s="25"/>
    </row>
    <row r="9" spans="1:4" ht="17" x14ac:dyDescent="0.2">
      <c r="A9" s="29" t="s">
        <v>50</v>
      </c>
      <c r="B9" s="30">
        <v>0.61</v>
      </c>
      <c r="C9" s="25"/>
      <c r="D9" s="25"/>
    </row>
    <row r="10" spans="1:4" ht="17" x14ac:dyDescent="0.2">
      <c r="A10" s="29" t="s">
        <v>51</v>
      </c>
      <c r="B10" s="31">
        <v>-0.42</v>
      </c>
      <c r="C10" s="25"/>
      <c r="D10" s="25"/>
    </row>
    <row r="11" spans="1:4" ht="17" x14ac:dyDescent="0.2">
      <c r="A11" s="29" t="s">
        <v>52</v>
      </c>
      <c r="B11" s="30">
        <v>0.45</v>
      </c>
      <c r="C11" s="25"/>
      <c r="D11" s="25"/>
    </row>
    <row r="12" spans="1:4" ht="17" x14ac:dyDescent="0.2">
      <c r="A12" s="29" t="s">
        <v>53</v>
      </c>
      <c r="B12" s="33">
        <f>SUM(B7:B11)</f>
        <v>0.97</v>
      </c>
      <c r="C12" s="25"/>
      <c r="D12" s="25"/>
    </row>
    <row r="13" spans="1:4" ht="17" x14ac:dyDescent="0.2">
      <c r="A13" s="27"/>
      <c r="B13" s="25"/>
      <c r="C13" s="25"/>
      <c r="D13" s="25"/>
    </row>
    <row r="14" spans="1:4" x14ac:dyDescent="0.2">
      <c r="A14" s="28"/>
      <c r="B14" s="25"/>
      <c r="C14" s="25"/>
      <c r="D14" s="25"/>
    </row>
    <row r="15" spans="1:4" ht="17" x14ac:dyDescent="0.2">
      <c r="A15" s="29" t="s">
        <v>54</v>
      </c>
      <c r="B15" s="25">
        <v>5</v>
      </c>
      <c r="C15" s="25"/>
      <c r="D15" s="25"/>
    </row>
    <row r="16" spans="1:4" ht="17" x14ac:dyDescent="0.2">
      <c r="A16" s="29" t="s">
        <v>55</v>
      </c>
      <c r="B16" s="32">
        <f>B12/B15</f>
        <v>0.19400000000000001</v>
      </c>
      <c r="C16" s="25"/>
      <c r="D16" s="25"/>
    </row>
    <row r="17" spans="1:4" ht="17" x14ac:dyDescent="0.2">
      <c r="A17" s="29"/>
      <c r="B17" s="25" t="str">
        <f>IF(B16&gt;1,"very positive",IF(B16&lt;-1,"very negative",IF(B16&lt;0,"mildly negative","mildly positive")))</f>
        <v>mildly positive</v>
      </c>
      <c r="C17" s="25"/>
      <c r="D17" s="25"/>
    </row>
    <row r="18" spans="1:4" ht="18" x14ac:dyDescent="0.25">
      <c r="A18" s="11"/>
    </row>
    <row r="19" spans="1:4" ht="17" x14ac:dyDescent="0.2">
      <c r="A19" s="22"/>
    </row>
    <row r="20" spans="1:4" ht="23" x14ac:dyDescent="0.25">
      <c r="A20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5478-4D2A-6144-8FD2-E1619C9B54F9}">
  <dimension ref="A1:E21"/>
  <sheetViews>
    <sheetView tabSelected="1" zoomScale="174" workbookViewId="0">
      <selection activeCell="D16" sqref="D16"/>
    </sheetView>
  </sheetViews>
  <sheetFormatPr baseColWidth="10" defaultRowHeight="16" x14ac:dyDescent="0.2"/>
  <cols>
    <col min="1" max="1" width="21.33203125" customWidth="1"/>
  </cols>
  <sheetData>
    <row r="1" spans="1:5" ht="17" x14ac:dyDescent="0.2">
      <c r="A1" s="27" t="s">
        <v>70</v>
      </c>
      <c r="B1" s="25"/>
      <c r="C1" s="25"/>
      <c r="D1" s="25"/>
      <c r="E1" s="25"/>
    </row>
    <row r="2" spans="1:5" ht="17" x14ac:dyDescent="0.2">
      <c r="A2" s="27" t="s">
        <v>57</v>
      </c>
      <c r="B2" s="25"/>
      <c r="C2" s="25"/>
      <c r="D2" s="25"/>
      <c r="E2" s="25"/>
    </row>
    <row r="3" spans="1:5" x14ac:dyDescent="0.2">
      <c r="A3" s="25"/>
      <c r="B3" s="25"/>
      <c r="C3" s="25"/>
      <c r="D3" s="25"/>
      <c r="E3" s="25"/>
    </row>
    <row r="4" spans="1:5" x14ac:dyDescent="0.2">
      <c r="A4" s="28" t="s">
        <v>58</v>
      </c>
      <c r="B4" s="28" t="s">
        <v>59</v>
      </c>
      <c r="C4" s="28" t="s">
        <v>60</v>
      </c>
      <c r="D4" s="28" t="s">
        <v>61</v>
      </c>
      <c r="E4" s="25"/>
    </row>
    <row r="5" spans="1:5" ht="17" x14ac:dyDescent="0.2">
      <c r="A5" s="29" t="s">
        <v>62</v>
      </c>
      <c r="B5" s="34">
        <v>200</v>
      </c>
      <c r="C5" s="35">
        <v>15200</v>
      </c>
      <c r="D5" s="34">
        <v>28.4</v>
      </c>
      <c r="E5" s="25"/>
    </row>
    <row r="6" spans="1:5" ht="17" x14ac:dyDescent="0.2">
      <c r="A6" s="29" t="s">
        <v>62</v>
      </c>
      <c r="B6" s="34">
        <v>205</v>
      </c>
      <c r="C6" s="35">
        <v>9800</v>
      </c>
      <c r="D6" s="34">
        <v>29.1</v>
      </c>
      <c r="E6" s="25"/>
    </row>
    <row r="7" spans="1:5" ht="17" x14ac:dyDescent="0.2">
      <c r="A7" s="29" t="s">
        <v>62</v>
      </c>
      <c r="B7" s="34">
        <v>210</v>
      </c>
      <c r="C7" s="35">
        <v>6500</v>
      </c>
      <c r="D7" s="34">
        <v>30.2</v>
      </c>
      <c r="E7" s="25"/>
    </row>
    <row r="8" spans="1:5" ht="17" x14ac:dyDescent="0.2">
      <c r="A8" s="29" t="s">
        <v>63</v>
      </c>
      <c r="B8" s="34">
        <v>190</v>
      </c>
      <c r="C8" s="35">
        <v>18400</v>
      </c>
      <c r="D8" s="34">
        <v>31.5</v>
      </c>
      <c r="E8" s="25"/>
    </row>
    <row r="9" spans="1:5" ht="17" x14ac:dyDescent="0.2">
      <c r="A9" s="29" t="s">
        <v>63</v>
      </c>
      <c r="B9" s="34">
        <v>185</v>
      </c>
      <c r="C9" s="35">
        <v>12100</v>
      </c>
      <c r="D9" s="34">
        <v>33.200000000000003</v>
      </c>
      <c r="E9" s="25"/>
    </row>
    <row r="10" spans="1:5" ht="17" x14ac:dyDescent="0.2">
      <c r="A10" s="29" t="s">
        <v>63</v>
      </c>
      <c r="B10" s="34">
        <v>180</v>
      </c>
      <c r="C10" s="35">
        <v>7300</v>
      </c>
      <c r="D10" s="34">
        <v>35.799999999999997</v>
      </c>
      <c r="E10" s="25"/>
    </row>
    <row r="11" spans="1:5" x14ac:dyDescent="0.2">
      <c r="A11" s="28"/>
      <c r="B11" s="25"/>
      <c r="C11" s="25"/>
      <c r="D11" s="25"/>
      <c r="E11" s="25"/>
    </row>
    <row r="12" spans="1:5" ht="17" x14ac:dyDescent="0.2">
      <c r="A12" s="29" t="s">
        <v>64</v>
      </c>
      <c r="B12" s="36">
        <f>C5+C6+C7</f>
        <v>31500</v>
      </c>
      <c r="C12" s="25"/>
      <c r="D12" s="25"/>
      <c r="E12" s="25"/>
    </row>
    <row r="13" spans="1:5" ht="17" x14ac:dyDescent="0.2">
      <c r="A13" s="29" t="s">
        <v>65</v>
      </c>
      <c r="B13" s="36">
        <f>C8+C9+C10</f>
        <v>37800</v>
      </c>
      <c r="C13" s="25"/>
      <c r="D13" s="25"/>
      <c r="E13" s="25"/>
    </row>
    <row r="14" spans="1:5" ht="17" x14ac:dyDescent="0.2">
      <c r="A14" s="29" t="s">
        <v>66</v>
      </c>
      <c r="B14" s="37">
        <f>B13/B12</f>
        <v>1.2</v>
      </c>
      <c r="C14" s="25"/>
      <c r="D14" s="25"/>
      <c r="E14" s="25"/>
    </row>
    <row r="15" spans="1:5" ht="17" x14ac:dyDescent="0.2">
      <c r="A15" s="29"/>
      <c r="B15" s="37" t="str">
        <f>IF(B14&gt;1, "Bearish", "Bullish")</f>
        <v>Bearish</v>
      </c>
      <c r="C15" s="25"/>
      <c r="D15" s="25"/>
      <c r="E15" s="25"/>
    </row>
    <row r="16" spans="1:5" x14ac:dyDescent="0.2">
      <c r="A16" s="25"/>
      <c r="B16" s="25"/>
      <c r="C16" s="25"/>
      <c r="D16" s="25"/>
      <c r="E16" s="25"/>
    </row>
    <row r="17" spans="1:5" ht="17" x14ac:dyDescent="0.2">
      <c r="A17" s="29" t="s">
        <v>68</v>
      </c>
      <c r="B17" s="37">
        <f>(D5+D6+D7)/3</f>
        <v>29.233333333333334</v>
      </c>
      <c r="C17" s="25"/>
      <c r="D17" s="25"/>
      <c r="E17" s="25"/>
    </row>
    <row r="18" spans="1:5" ht="17" x14ac:dyDescent="0.2">
      <c r="A18" s="29" t="s">
        <v>67</v>
      </c>
      <c r="B18" s="37">
        <f>(D8+D9+D10)/3</f>
        <v>33.5</v>
      </c>
      <c r="C18" s="25"/>
      <c r="D18" s="25"/>
      <c r="E18" s="25"/>
    </row>
    <row r="19" spans="1:5" ht="17" x14ac:dyDescent="0.2">
      <c r="A19" s="29" t="s">
        <v>69</v>
      </c>
      <c r="B19" s="37">
        <f>(B17+B18)/2</f>
        <v>31.366666666666667</v>
      </c>
      <c r="C19" s="25"/>
      <c r="D19" s="25"/>
      <c r="E19" s="25"/>
    </row>
    <row r="20" spans="1:5" x14ac:dyDescent="0.2">
      <c r="A20" s="25"/>
      <c r="B20" s="25"/>
      <c r="C20" s="25"/>
      <c r="D20" s="25"/>
      <c r="E20" s="25"/>
    </row>
    <row r="21" spans="1:5" x14ac:dyDescent="0.2">
      <c r="A21" s="25"/>
      <c r="B21" s="25"/>
      <c r="C21" s="25"/>
      <c r="D21" s="25"/>
      <c r="E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RSI</vt:lpstr>
      <vt:lpstr>MACD</vt:lpstr>
      <vt:lpstr>Earning Surprise</vt:lpstr>
      <vt:lpstr>Interest rate signal</vt:lpstr>
      <vt:lpstr>News Sentiment Score</vt:lpstr>
      <vt:lpstr>Put_Call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Wang</dc:creator>
  <cp:lastModifiedBy>Lesley Wang</cp:lastModifiedBy>
  <dcterms:created xsi:type="dcterms:W3CDTF">2026-05-23T15:39:26Z</dcterms:created>
  <dcterms:modified xsi:type="dcterms:W3CDTF">2026-05-23T18:36:58Z</dcterms:modified>
</cp:coreProperties>
</file>